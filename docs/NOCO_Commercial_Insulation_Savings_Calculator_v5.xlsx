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lark\Downloads\"/>
    </mc:Choice>
  </mc:AlternateContent>
  <xr:revisionPtr revIDLastSave="0" documentId="8_{B76C02D0-036C-403F-830D-8F6B912D4D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 Calculator" sheetId="1" r:id="rId1"/>
    <sheet name="Assum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I25" i="1"/>
  <c r="E28" i="1" s="1"/>
  <c r="I23" i="1"/>
  <c r="E23" i="1"/>
  <c r="I7" i="1" s="1"/>
  <c r="I22" i="1"/>
  <c r="E26" i="1" s="1"/>
  <c r="E22" i="1"/>
  <c r="E21" i="1"/>
  <c r="I20" i="1"/>
  <c r="E20" i="1"/>
  <c r="I18" i="1"/>
  <c r="I19" i="1" s="1"/>
  <c r="I21" i="1" s="1"/>
  <c r="B18" i="1"/>
  <c r="E16" i="1"/>
  <c r="B16" i="1"/>
  <c r="E15" i="1"/>
  <c r="E17" i="1" s="1"/>
  <c r="I15" i="1" l="1"/>
  <c r="I16" i="1" s="1"/>
  <c r="I26" i="1"/>
  <c r="E24" i="1"/>
  <c r="I8" i="1"/>
  <c r="I9" i="1"/>
  <c r="E25" i="1"/>
  <c r="I24" i="1"/>
  <c r="E18" i="1"/>
  <c r="E19" i="1" s="1"/>
  <c r="I17" i="1" l="1"/>
  <c r="I14" i="1" s="1"/>
  <c r="E33" i="1" s="1"/>
  <c r="E29" i="1"/>
  <c r="E27" i="1"/>
  <c r="I13" i="1"/>
  <c r="I3" i="1" s="1"/>
  <c r="I10" i="1" s="1"/>
  <c r="E6" i="1" l="1"/>
  <c r="I12" i="1"/>
  <c r="E30" i="1"/>
  <c r="E10" i="1"/>
  <c r="I2" i="1"/>
  <c r="I4" i="1" l="1"/>
  <c r="E8" i="1" s="1"/>
  <c r="I5" i="1"/>
  <c r="E7" i="1" s="1"/>
  <c r="I6" i="1"/>
  <c r="I11" i="1" l="1"/>
  <c r="E9" i="1" s="1"/>
  <c r="E11" i="1" s="1"/>
  <c r="E5" i="1"/>
</calcChain>
</file>

<file path=xl/sharedStrings.xml><?xml version="1.0" encoding="utf-8"?>
<sst xmlns="http://schemas.openxmlformats.org/spreadsheetml/2006/main" count="294" uniqueCount="223">
  <si>
    <t>NOCO Commercial Insulation Savings Sales Calculator</t>
  </si>
  <si>
    <t>Helper</t>
  </si>
  <si>
    <t>Value</t>
  </si>
  <si>
    <t>Heating Load Saved Btu/yr</t>
  </si>
  <si>
    <t>Cooling Load Saved Btu/yr</t>
  </si>
  <si>
    <t>SALES INPUTS (IN ORANGE)</t>
  </si>
  <si>
    <t>ESTIMATED ANNUAL SAVINGS</t>
  </si>
  <si>
    <t>Heating Input Btu Saved/yr</t>
  </si>
  <si>
    <t>Project / Customer</t>
  </si>
  <si>
    <t>Heating Energy Savings</t>
  </si>
  <si>
    <t>Therms/yr, kWh/yr, gal/yr, or MMBtu/yr</t>
  </si>
  <si>
    <t>Heating kWh Saved/yr</t>
  </si>
  <si>
    <t>Location</t>
  </si>
  <si>
    <t>Buffalo, NY</t>
  </si>
  <si>
    <t>Cooling Energy Savings</t>
  </si>
  <si>
    <t>kWh/yr</t>
  </si>
  <si>
    <t>Heating Therms Saved/yr</t>
  </si>
  <si>
    <t>Building / Operating Profile</t>
  </si>
  <si>
    <t>Office / School / Daytime Commercial</t>
  </si>
  <si>
    <t>Total Electric Savings</t>
  </si>
  <si>
    <t>Heating Propane gal Saved/yr</t>
  </si>
  <si>
    <t>Building Square Footage (sq ft)</t>
  </si>
  <si>
    <t>Annual Site Energy Savings</t>
  </si>
  <si>
    <t>MMBtu/yr</t>
  </si>
  <si>
    <t>Heating Oil gal Saved/yr</t>
  </si>
  <si>
    <t>Incentive Program</t>
  </si>
  <si>
    <t>Annual Energy Cost Savings</t>
  </si>
  <si>
    <t>$/yr</t>
  </si>
  <si>
    <t>Heating District MMBtu Saved/yr</t>
  </si>
  <si>
    <t>National Grid DAC? (if applicable)</t>
  </si>
  <si>
    <t>Estimated Incentive</t>
  </si>
  <si>
    <t>$</t>
  </si>
  <si>
    <t>Cooling kWh Saved/yr</t>
  </si>
  <si>
    <t>Number of Floors</t>
  </si>
  <si>
    <t>Simple 10-Year Energy Value</t>
  </si>
  <si>
    <t>Heating $ Saved/yr</t>
  </si>
  <si>
    <t>Building Shape</t>
  </si>
  <si>
    <t>Typical Rectangle</t>
  </si>
  <si>
    <t>Cooling $ Saved/yr</t>
  </si>
  <si>
    <t>Existing Insulation</t>
  </si>
  <si>
    <t>R-13</t>
  </si>
  <si>
    <t>Insulated Area Used (sq ft)</t>
  </si>
  <si>
    <t>Proposed Insulation</t>
  </si>
  <si>
    <t>R-49</t>
  </si>
  <si>
    <t>CALCULATION SUMMARY</t>
  </si>
  <si>
    <t>Incentive Rate Applied</t>
  </si>
  <si>
    <t>Heating System</t>
  </si>
  <si>
    <t>Existing Effective R</t>
  </si>
  <si>
    <t>Delta R</t>
  </si>
  <si>
    <t>Heating Efficiency / COP</t>
  </si>
  <si>
    <t>Proposed Effective R</t>
  </si>
  <si>
    <t>NG Gas Rate</t>
  </si>
  <si>
    <t>Cooling System</t>
  </si>
  <si>
    <t>Split System / DX</t>
  </si>
  <si>
    <t>Existing U-Factor</t>
  </si>
  <si>
    <t>Btu/hr-ft²-°F</t>
  </si>
  <si>
    <t>NG Electric Rate</t>
  </si>
  <si>
    <t>Cooling COP</t>
  </si>
  <si>
    <t>Proposed U-Factor</t>
  </si>
  <si>
    <t>Building Footprint (sq ft)</t>
  </si>
  <si>
    <t>Natural Gas Price ($/therm)</t>
  </si>
  <si>
    <t>ΔU</t>
  </si>
  <si>
    <t>Base Perimeter (ft)</t>
  </si>
  <si>
    <t>Electricity Price ($/kWh)</t>
  </si>
  <si>
    <t>HDD Used</t>
  </si>
  <si>
    <t>°F-days</t>
  </si>
  <si>
    <t>Shape Perimeter Multiplier</t>
  </si>
  <si>
    <t>Propane Price ($/gal)</t>
  </si>
  <si>
    <t>CDD Used</t>
  </si>
  <si>
    <t>Estimated Perimeter (ft)</t>
  </si>
  <si>
    <t>Fuel Oil Price ($/gal)</t>
  </si>
  <si>
    <t>Operating Load Factor</t>
  </si>
  <si>
    <t>Floor Height Used (ft)</t>
  </si>
  <si>
    <t>District Energy Price ($/MMBtu)</t>
  </si>
  <si>
    <t>Heating Fuel</t>
  </si>
  <si>
    <t>Exposed Exterior Wall %</t>
  </si>
  <si>
    <t>Building Footprint</t>
  </si>
  <si>
    <t>sq ft</t>
  </si>
  <si>
    <t>Gross Exposed Wall Area</t>
  </si>
  <si>
    <t>OPTIONAL OVERRIDES / ADVANCED INPUTS</t>
  </si>
  <si>
    <t>Estimated Perimeter</t>
  </si>
  <si>
    <t>ft</t>
  </si>
  <si>
    <t>Window/Door % Used</t>
  </si>
  <si>
    <t>Custom HDD (only used if Location = Custom)</t>
  </si>
  <si>
    <t>Floor Height Used</t>
  </si>
  <si>
    <t>ft / floor</t>
  </si>
  <si>
    <t>Net Opaque Wall Factor</t>
  </si>
  <si>
    <t>Custom CDD (only used if Location = Custom)</t>
  </si>
  <si>
    <t>Custom Operating Load Factor (only if Profile = Custom)</t>
  </si>
  <si>
    <t>Window / Door Deduction</t>
  </si>
  <si>
    <t>%</t>
  </si>
  <si>
    <t>Actual Insulated Area Override (sq ft, optional)</t>
  </si>
  <si>
    <t>Estimated Insulated Wall Area</t>
  </si>
  <si>
    <t>Custom Existing R-Value (only if Existing Insulation = Custom)</t>
  </si>
  <si>
    <t>Insulated Area Used</t>
  </si>
  <si>
    <t>Custom Proposed R-Value (only if Proposed Insulation = Custom)</t>
  </si>
  <si>
    <t>Average Floor Height Override (ft, optional)</t>
  </si>
  <si>
    <t>Window/Door Area Override (% of exterior walls, optional)</t>
  </si>
  <si>
    <t>$/sq ft (or $150/Annual MMBtu for Multifamily)</t>
  </si>
  <si>
    <t>Exposed Exterior Wall Override (% of perimeter, optional)</t>
  </si>
  <si>
    <t>HDD</t>
  </si>
  <si>
    <t>CDD</t>
  </si>
  <si>
    <t>Insulation / Assembly Preset</t>
  </si>
  <si>
    <t>R-Value</t>
  </si>
  <si>
    <t>Typical Use</t>
  </si>
  <si>
    <t>Fuel</t>
  </si>
  <si>
    <t>Default Efficiency/COP</t>
  </si>
  <si>
    <t>Input Unit</t>
  </si>
  <si>
    <t>Default COP</t>
  </si>
  <si>
    <t>Notes</t>
  </si>
  <si>
    <t>Energy Source</t>
  </si>
  <si>
    <t>Default Price</t>
  </si>
  <si>
    <t>Unit</t>
  </si>
  <si>
    <t>Constant / Program Input</t>
  </si>
  <si>
    <t>Load Factor</t>
  </si>
  <si>
    <t>Typical Floor Height (ft)</t>
  </si>
  <si>
    <t>Typical Window/Door %</t>
  </si>
  <si>
    <t>Heating Basis / Tier</t>
  </si>
  <si>
    <t>Standard Rate</t>
  </si>
  <si>
    <t>DAC Rate</t>
  </si>
  <si>
    <t>Aspect Ratio</t>
  </si>
  <si>
    <t>Perimeter Multiplier</t>
  </si>
  <si>
    <t>Uninsulated masonry / concrete</t>
  </si>
  <si>
    <t>Existing wall</t>
  </si>
  <si>
    <t>Natural Gas Furnace - Standard</t>
  </si>
  <si>
    <t>Natural Gas</t>
  </si>
  <si>
    <t>Therms</t>
  </si>
  <si>
    <t>No Cooling</t>
  </si>
  <si>
    <t>No cooling savings calculated</t>
  </si>
  <si>
    <t>$/therm</t>
  </si>
  <si>
    <t>Btu per kWh</t>
  </si>
  <si>
    <t>24/7 / Multifamily / Hospitality</t>
  </si>
  <si>
    <t>NYSEG/RG&amp;E - C&amp;I</t>
  </si>
  <si>
    <t>$/sq ft</t>
  </si>
  <si>
    <t>Square / Compact</t>
  </si>
  <si>
    <t>Rochester, NY</t>
  </si>
  <si>
    <t>Uninsulated wood-frame cavity</t>
  </si>
  <si>
    <t>Natural Gas Furnace - High Efficiency</t>
  </si>
  <si>
    <t>Packaged Rooftop Unit</t>
  </si>
  <si>
    <t>Screening COP</t>
  </si>
  <si>
    <t>Electricity</t>
  </si>
  <si>
    <t>$/kWh</t>
  </si>
  <si>
    <t>Btu per therm</t>
  </si>
  <si>
    <t>NYSEG/RG&amp;E - Small Business</t>
  </si>
  <si>
    <t>Syracuse, NY</t>
  </si>
  <si>
    <t>Minimal insulation</t>
  </si>
  <si>
    <t>Existing wall/roof</t>
  </si>
  <si>
    <t>Natural Gas Boiler - Standard</t>
  </si>
  <si>
    <t>Propane</t>
  </si>
  <si>
    <t>$/gal</t>
  </si>
  <si>
    <t>Btu per gallon propane</t>
  </si>
  <si>
    <t>Retail / Restaurant - Extended Hours</t>
  </si>
  <si>
    <t>National Grid - Commercial Weatherization</t>
  </si>
  <si>
    <t>Long Rectangle</t>
  </si>
  <si>
    <t>Binghamton, NY</t>
  </si>
  <si>
    <t>R-11</t>
  </si>
  <si>
    <t>Wall / older cavity</t>
  </si>
  <si>
    <t>Natural Gas Boiler - Condensing</t>
  </si>
  <si>
    <t>Air-Cooled Chiller</t>
  </si>
  <si>
    <t>Fuel Oil</t>
  </si>
  <si>
    <t>Btu per gallon fuel oil</t>
  </si>
  <si>
    <t>Warehouse / Light Industrial</t>
  </si>
  <si>
    <t>Very Long / Narrow</t>
  </si>
  <si>
    <t>Watertown, NY</t>
  </si>
  <si>
    <t>Wall</t>
  </si>
  <si>
    <t>Propane Furnace/Boiler</t>
  </si>
  <si>
    <t>Gallons</t>
  </si>
  <si>
    <t>Water-Cooled Chiller</t>
  </si>
  <si>
    <t>District</t>
  </si>
  <si>
    <t>$/MMBtu</t>
  </si>
  <si>
    <t>Btu per MMBtu</t>
  </si>
  <si>
    <t>Intermittent / Seasonal</t>
  </si>
  <si>
    <t>L-Shaped</t>
  </si>
  <si>
    <t>Albany, NY</t>
  </si>
  <si>
    <t>R-15</t>
  </si>
  <si>
    <t>Fuel Oil Boiler/Furnace</t>
  </si>
  <si>
    <t>Heat Pump Cooling</t>
  </si>
  <si>
    <t>Multifamily incentive $/annual MMBtu</t>
  </si>
  <si>
    <t>Custom</t>
  </si>
  <si>
    <t>U / C-Shaped</t>
  </si>
  <si>
    <t>Plattsburgh, NY</t>
  </si>
  <si>
    <t>R-19</t>
  </si>
  <si>
    <t>Wall / floor / roof</t>
  </si>
  <si>
    <t>Electric Resistance</t>
  </si>
  <si>
    <t>Electric</t>
  </si>
  <si>
    <t>kWh</t>
  </si>
  <si>
    <t>Enter custom COP</t>
  </si>
  <si>
    <t>Heating realization factor</t>
  </si>
  <si>
    <t>Courtyard / Donut</t>
  </si>
  <si>
    <t>R-21</t>
  </si>
  <si>
    <t>Air-Source Heat Pump</t>
  </si>
  <si>
    <t>Cooling realization factor</t>
  </si>
  <si>
    <t>Irregular / Multi-Wing</t>
  </si>
  <si>
    <t>R-25</t>
  </si>
  <si>
    <t>Wall / roof</t>
  </si>
  <si>
    <t>Ground-Source Heat Pump</t>
  </si>
  <si>
    <t>Opaque Wall Factor</t>
  </si>
  <si>
    <t>National Grid - Multifamily Wall Insulation</t>
  </si>
  <si>
    <t>Annual MMBtu saved</t>
  </si>
  <si>
    <t>$/Annual MMBtu</t>
  </si>
  <si>
    <t>R-30</t>
  </si>
  <si>
    <t>Roof / ceiling</t>
  </si>
  <si>
    <t>District Steam / Hot Water</t>
  </si>
  <si>
    <t>MMBtu</t>
  </si>
  <si>
    <t>Opaque Wall Assumption</t>
  </si>
  <si>
    <t>Assumes ~20% of exterior wall area is windows/doors</t>
  </si>
  <si>
    <t>R-38</t>
  </si>
  <si>
    <t>No Heating</t>
  </si>
  <si>
    <t>None</t>
  </si>
  <si>
    <t>Geometry Method</t>
  </si>
  <si>
    <t>GFA ÷ floors = footprint; shape estimates perimeter; perimeter × total building height × opaque factor = estimated insulated wall area</t>
  </si>
  <si>
    <t>R-60</t>
  </si>
  <si>
    <t>Enter custom R-value in calculator</t>
  </si>
  <si>
    <t>No</t>
  </si>
  <si>
    <t>Gas ΔR 4-10.999</t>
  </si>
  <si>
    <t>Gas ΔR 11-20.999</t>
  </si>
  <si>
    <t>Gas ΔR 21-30.999</t>
  </si>
  <si>
    <t>Gas ΔR 31-40.999</t>
  </si>
  <si>
    <t>Gas ΔR 41-60</t>
  </si>
  <si>
    <t>Electric wall ΔR 4-10.999 / 11-20.999 / ≥21</t>
  </si>
  <si>
    <t>2 / 3 / 4</t>
  </si>
  <si>
    <t>3 / 4 / 5</t>
  </si>
  <si>
    <t>Catalog-provided screening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</si>
</sst>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\$0.00"/>
    <numFmt numFmtId="166" formatCode="#,##0.0"/>
    <numFmt numFmtId="167" formatCode="\$#,##0"/>
    <numFmt numFmtId="168" formatCode="0.000"/>
    <numFmt numFmtId="169" formatCode="&quot;$&quot;#,##0.00"/>
    <numFmt numFmtId="170" formatCode="_(* #,##0.0_);_(* \(#,##0.0\);_(* &quot;-&quot;??_);_(@_)"/>
    <numFmt numFmtId="171" formatCode="_(* #,##0_);_(* \(#,##0\);_(* &quot;-&quot;??_);_(@_)"/>
  </numFmts>
  <fonts count="11">
    <font>
      <sz val="11"/>
      <name val="Carlito"/>
    </font>
    <font>
      <b/>
      <sz val="20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b/>
      <sz val="11"/>
      <name val="Carlito"/>
    </font>
    <font>
      <i/>
      <sz val="11"/>
      <color rgb="FF6B7280"/>
      <name val="Carlito"/>
    </font>
    <font>
      <sz val="11"/>
      <name val="Carlito"/>
    </font>
    <font>
      <b/>
      <sz val="12"/>
      <color theme="6" tint="-0.249977111117893"/>
      <name val="Carlito"/>
    </font>
    <font>
      <b/>
      <sz val="11"/>
      <color theme="2"/>
      <name val="Carlito"/>
    </font>
    <font>
      <i/>
      <sz val="11"/>
      <color theme="2" tint="-0.249977111117893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theme="6"/>
      </patternFill>
    </fill>
    <fill>
      <patternFill patternType="solid">
        <fgColor theme="9" tint="0.79989013336588644"/>
        <bgColor indexed="65"/>
      </patternFill>
    </fill>
    <fill>
      <patternFill patternType="solid">
        <fgColor rgb="FF176B2C"/>
      </patternFill>
    </fill>
    <fill>
      <patternFill patternType="solid">
        <fgColor rgb="FF176B2C"/>
      </patternFill>
    </fill>
    <fill>
      <patternFill patternType="solid">
        <fgColor theme="6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0">
    <xf numFmtId="0" fontId="0" fillId="0" borderId="0" xfId="0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2" fontId="4" fillId="0" borderId="2" xfId="0" applyNumberFormat="1" applyFont="1" applyBorder="1" applyAlignment="1">
      <alignment horizontal="right"/>
    </xf>
    <xf numFmtId="3" fontId="8" fillId="4" borderId="1" xfId="0" applyNumberFormat="1" applyFont="1" applyFill="1" applyBorder="1"/>
    <xf numFmtId="3" fontId="8" fillId="4" borderId="2" xfId="0" applyNumberFormat="1" applyFont="1" applyFill="1" applyBorder="1"/>
    <xf numFmtId="166" fontId="8" fillId="4" borderId="2" xfId="0" applyNumberFormat="1" applyFont="1" applyFill="1" applyBorder="1"/>
    <xf numFmtId="167" fontId="8" fillId="4" borderId="2" xfId="0" applyNumberFormat="1" applyFont="1" applyFill="1" applyBorder="1"/>
    <xf numFmtId="167" fontId="8" fillId="4" borderId="3" xfId="0" applyNumberFormat="1" applyFont="1" applyFill="1" applyBorder="1"/>
    <xf numFmtId="0" fontId="2" fillId="5" borderId="0" xfId="0" applyFont="1" applyFill="1" applyAlignment="1">
      <alignment wrapText="1"/>
    </xf>
    <xf numFmtId="167" fontId="8" fillId="4" borderId="0" xfId="0" applyNumberFormat="1" applyFont="1" applyFill="1"/>
    <xf numFmtId="0" fontId="2" fillId="6" borderId="0" xfId="0" applyFont="1" applyFill="1" applyAlignment="1">
      <alignment wrapText="1"/>
    </xf>
    <xf numFmtId="9" fontId="0" fillId="0" borderId="0" xfId="0" applyNumberFormat="1" applyAlignment="1">
      <alignment wrapText="1"/>
    </xf>
    <xf numFmtId="9" fontId="0" fillId="0" borderId="0" xfId="0" applyNumberFormat="1"/>
    <xf numFmtId="0" fontId="3" fillId="0" borderId="0" xfId="0" applyFont="1" applyAlignment="1">
      <alignment wrapText="1"/>
    </xf>
    <xf numFmtId="3" fontId="0" fillId="0" borderId="2" xfId="0" applyNumberFormat="1" applyBorder="1"/>
    <xf numFmtId="0" fontId="2" fillId="2" borderId="0" xfId="0" applyFont="1" applyFill="1" applyAlignment="1">
      <alignment horizontal="left" wrapText="1"/>
    </xf>
    <xf numFmtId="0" fontId="5" fillId="8" borderId="0" xfId="0" applyFont="1" applyFill="1" applyAlignment="1">
      <alignment wrapText="1"/>
    </xf>
    <xf numFmtId="0" fontId="0" fillId="9" borderId="0" xfId="0" applyFill="1" applyAlignment="1">
      <alignment horizontal="right"/>
    </xf>
    <xf numFmtId="166" fontId="0" fillId="9" borderId="0" xfId="0" applyNumberFormat="1" applyFill="1" applyAlignment="1">
      <alignment wrapText="1"/>
    </xf>
    <xf numFmtId="9" fontId="0" fillId="9" borderId="0" xfId="0" applyNumberFormat="1" applyFill="1" applyAlignment="1">
      <alignment horizontal="right"/>
    </xf>
    <xf numFmtId="166" fontId="0" fillId="9" borderId="0" xfId="0" applyNumberFormat="1" applyFill="1" applyAlignment="1">
      <alignment horizontal="right" wrapText="1"/>
    </xf>
    <xf numFmtId="0" fontId="10" fillId="8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4" fillId="10" borderId="2" xfId="0" applyFont="1" applyFill="1" applyBorder="1" applyAlignment="1">
      <alignment horizontal="right"/>
    </xf>
    <xf numFmtId="3" fontId="0" fillId="10" borderId="0" xfId="0" applyNumberFormat="1" applyFill="1" applyAlignment="1">
      <alignment horizontal="right"/>
    </xf>
    <xf numFmtId="0" fontId="0" fillId="10" borderId="0" xfId="0" applyFill="1" applyAlignment="1">
      <alignment horizontal="right"/>
    </xf>
    <xf numFmtId="164" fontId="4" fillId="10" borderId="2" xfId="0" applyNumberFormat="1" applyFont="1" applyFill="1" applyBorder="1" applyAlignment="1">
      <alignment horizontal="right"/>
    </xf>
    <xf numFmtId="2" fontId="4" fillId="10" borderId="2" xfId="0" applyNumberFormat="1" applyFont="1" applyFill="1" applyBorder="1" applyAlignment="1">
      <alignment horizontal="right"/>
    </xf>
    <xf numFmtId="0" fontId="0" fillId="9" borderId="0" xfId="0" applyFill="1" applyAlignment="1">
      <alignment horizontal="right" wrapText="1"/>
    </xf>
    <xf numFmtId="0" fontId="9" fillId="7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3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0" xfId="0" applyFont="1" applyFill="1" applyAlignment="1">
      <alignment horizontal="left" vertical="center" wrapText="1"/>
    </xf>
    <xf numFmtId="3" fontId="0" fillId="9" borderId="0" xfId="0" applyNumberFormat="1" applyFill="1" applyAlignment="1">
      <alignment wrapText="1"/>
    </xf>
    <xf numFmtId="171" fontId="4" fillId="10" borderId="2" xfId="1" applyNumberFormat="1" applyFont="1" applyFill="1" applyBorder="1" applyAlignment="1">
      <alignment horizontal="right"/>
    </xf>
    <xf numFmtId="0" fontId="2" fillId="0" borderId="0" xfId="0" applyFont="1" applyFill="1" applyAlignment="1">
      <alignment horizontal="left" wrapText="1"/>
    </xf>
    <xf numFmtId="0" fontId="6" fillId="11" borderId="0" xfId="0" applyFont="1" applyFill="1" applyAlignment="1">
      <alignment wrapText="1"/>
    </xf>
    <xf numFmtId="0" fontId="5" fillId="11" borderId="0" xfId="0" applyFont="1" applyFill="1"/>
    <xf numFmtId="0" fontId="5" fillId="8" borderId="0" xfId="0" applyFont="1" applyFill="1" applyAlignment="1"/>
    <xf numFmtId="171" fontId="0" fillId="0" borderId="0" xfId="1" applyNumberFormat="1" applyFont="1" applyAlignment="1">
      <alignment horizontal="right" wrapText="1"/>
    </xf>
    <xf numFmtId="171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 wrapText="1"/>
    </xf>
    <xf numFmtId="170" fontId="0" fillId="0" borderId="0" xfId="0" applyNumberFormat="1" applyAlignment="1">
      <alignment horizontal="right" wrapText="1"/>
    </xf>
    <xf numFmtId="169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71" fontId="0" fillId="0" borderId="0" xfId="1" applyNumberFormat="1" applyFont="1" applyAlignment="1">
      <alignment horizontal="right"/>
    </xf>
    <xf numFmtId="0" fontId="4" fillId="10" borderId="1" xfId="0" applyFont="1" applyFill="1" applyBorder="1" applyAlignment="1"/>
    <xf numFmtId="1" fontId="0" fillId="10" borderId="0" xfId="0" applyNumberFormat="1" applyFill="1" applyAlignment="1"/>
    <xf numFmtId="2" fontId="4" fillId="0" borderId="2" xfId="0" applyNumberFormat="1" applyFont="1" applyBorder="1" applyAlignment="1"/>
    <xf numFmtId="165" fontId="4" fillId="0" borderId="2" xfId="0" applyNumberFormat="1" applyFont="1" applyBorder="1" applyAlignment="1"/>
    <xf numFmtId="165" fontId="4" fillId="0" borderId="3" xfId="0" applyNumberFormat="1" applyFont="1" applyBorder="1" applyAlignment="1"/>
    <xf numFmtId="164" fontId="0" fillId="9" borderId="0" xfId="0" applyNumberFormat="1" applyFill="1" applyAlignment="1"/>
    <xf numFmtId="168" fontId="0" fillId="9" borderId="0" xfId="0" applyNumberFormat="1" applyFill="1" applyAlignment="1"/>
    <xf numFmtId="3" fontId="0" fillId="9" borderId="0" xfId="0" applyNumberFormat="1" applyFill="1" applyAlignment="1"/>
    <xf numFmtId="9" fontId="0" fillId="9" borderId="0" xfId="0" applyNumberFormat="1" applyFill="1" applyAlignment="1"/>
    <xf numFmtId="166" fontId="0" fillId="9" borderId="0" xfId="0" applyNumberFormat="1" applyFill="1" applyAlignment="1"/>
    <xf numFmtId="165" fontId="0" fillId="9" borderId="0" xfId="0" applyNumberFormat="1" applyFill="1" applyAlignment="1"/>
    <xf numFmtId="3" fontId="0" fillId="10" borderId="0" xfId="0" applyNumberFormat="1" applyFill="1" applyAlignment="1"/>
    <xf numFmtId="0" fontId="0" fillId="10" borderId="0" xfId="0" applyFill="1" applyAlignment="1"/>
    <xf numFmtId="9" fontId="0" fillId="10" borderId="0" xfId="0" applyNumberFormat="1" applyFill="1" applyAlignment="1"/>
  </cellXfs>
  <cellStyles count="2">
    <cellStyle name="Comma" xfId="1" xr:uid="{00000000-0005-0000-0000-000000000000}"/>
    <cellStyle name="Normal" xfId="0" builtinId="0"/>
  </cellStyles>
  <dxfs count="1"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4" sqref="A4:B4"/>
    </sheetView>
  </sheetViews>
  <sheetFormatPr defaultRowHeight="14.25"/>
  <cols>
    <col min="1" max="1" width="46" customWidth="1"/>
    <col min="2" max="2" width="36.375" customWidth="1"/>
    <col min="3" max="3" width="4" customWidth="1"/>
    <col min="4" max="4" width="30" customWidth="1"/>
    <col min="5" max="5" width="24" customWidth="1"/>
    <col min="6" max="6" width="35" customWidth="1"/>
    <col min="8" max="8" width="29" customWidth="1"/>
    <col min="9" max="9" width="19" customWidth="1"/>
  </cols>
  <sheetData>
    <row r="1" spans="1:9" ht="27.95" customHeight="1">
      <c r="A1" s="34" t="s">
        <v>0</v>
      </c>
      <c r="B1" s="34"/>
      <c r="C1" s="34"/>
      <c r="D1" s="34"/>
      <c r="E1" s="34"/>
      <c r="F1" s="34"/>
      <c r="H1" s="2" t="s">
        <v>1</v>
      </c>
      <c r="I1" s="2" t="s">
        <v>2</v>
      </c>
    </row>
    <row r="2" spans="1:9" ht="27.95" customHeight="1">
      <c r="A2" s="34"/>
      <c r="B2" s="34"/>
      <c r="C2" s="34"/>
      <c r="D2" s="34"/>
      <c r="E2" s="34"/>
      <c r="F2" s="34"/>
      <c r="H2" s="2" t="s">
        <v>3</v>
      </c>
      <c r="I2" s="47">
        <f>E19*I13*E20*24*E22*Assumptions!$W$8</f>
        <v>30066178.107606683</v>
      </c>
    </row>
    <row r="3" spans="1:9" ht="21.95" customHeight="1">
      <c r="H3" s="2" t="s">
        <v>4</v>
      </c>
      <c r="I3" s="47">
        <f>E19*I13*E21*24*E22*Assumptions!$W$9</f>
        <v>2412717.9962894255</v>
      </c>
    </row>
    <row r="4" spans="1:9" ht="21" customHeight="1">
      <c r="A4" s="33" t="s">
        <v>5</v>
      </c>
      <c r="B4" s="33"/>
      <c r="C4" s="4"/>
      <c r="D4" s="35" t="s">
        <v>6</v>
      </c>
      <c r="E4" s="35"/>
      <c r="F4" s="35"/>
      <c r="H4" s="2" t="s">
        <v>7</v>
      </c>
      <c r="I4" s="47">
        <f>IF(OR(E23="None",B16&lt;=0),0,I2/B16)</f>
        <v>30066178.107606683</v>
      </c>
    </row>
    <row r="5" spans="1:9" ht="25.5" customHeight="1">
      <c r="A5" s="45" t="s">
        <v>8</v>
      </c>
      <c r="B5" s="56"/>
      <c r="D5" s="44" t="s">
        <v>9</v>
      </c>
      <c r="E5" s="6">
        <f>IF(E23="Natural Gas",I6,IF(E23="Electric",I5,IF(E23="Propane",I7,IF(E23="Fuel Oil",I8,IF(E23="District",I9,0)))))</f>
        <v>8811.8927630734706</v>
      </c>
      <c r="F5" s="43" t="s">
        <v>10</v>
      </c>
      <c r="H5" s="2" t="s">
        <v>11</v>
      </c>
      <c r="I5" s="46">
        <f>IF(E23="Electric",I2/(Assumptions!$W$2*B16),0)</f>
        <v>8811.8927630734706</v>
      </c>
    </row>
    <row r="6" spans="1:9" ht="25.5" customHeight="1">
      <c r="A6" s="45" t="s">
        <v>12</v>
      </c>
      <c r="B6" s="26" t="s">
        <v>13</v>
      </c>
      <c r="D6" s="44" t="s">
        <v>14</v>
      </c>
      <c r="E6" s="7">
        <f>I10</f>
        <v>235.70906567892004</v>
      </c>
      <c r="F6" s="43" t="s">
        <v>15</v>
      </c>
      <c r="H6" s="2" t="s">
        <v>16</v>
      </c>
      <c r="I6" s="48">
        <f>IF(E23="Natural Gas",I4/Assumptions!$W$3,0)</f>
        <v>0</v>
      </c>
    </row>
    <row r="7" spans="1:9" ht="25.5" customHeight="1">
      <c r="A7" s="45" t="s">
        <v>17</v>
      </c>
      <c r="B7" s="26" t="s">
        <v>18</v>
      </c>
      <c r="D7" s="44" t="s">
        <v>19</v>
      </c>
      <c r="E7" s="7">
        <f>I5+I10</f>
        <v>9047.6018287523912</v>
      </c>
      <c r="F7" s="43" t="s">
        <v>15</v>
      </c>
      <c r="H7" s="2" t="s">
        <v>20</v>
      </c>
      <c r="I7" s="48">
        <f>IF(E23="Propane",I4/Assumptions!$W$4,0)</f>
        <v>0</v>
      </c>
    </row>
    <row r="8" spans="1:9" ht="25.5" customHeight="1">
      <c r="A8" s="45" t="s">
        <v>21</v>
      </c>
      <c r="B8" s="41">
        <v>10000</v>
      </c>
      <c r="D8" s="44" t="s">
        <v>22</v>
      </c>
      <c r="E8" s="8">
        <f>(I4+I10*Assumptions!$W$2)/Assumptions!$W$6</f>
        <v>30.870417439703161</v>
      </c>
      <c r="F8" s="43" t="s">
        <v>23</v>
      </c>
      <c r="H8" s="2" t="s">
        <v>24</v>
      </c>
      <c r="I8" s="48">
        <f>IF(E23="Fuel Oil",I4/Assumptions!$W$5,0)</f>
        <v>0</v>
      </c>
    </row>
    <row r="9" spans="1:9" ht="25.5" customHeight="1">
      <c r="A9" s="45" t="s">
        <v>25</v>
      </c>
      <c r="B9" s="28" t="s">
        <v>152</v>
      </c>
      <c r="D9" s="44" t="s">
        <v>26</v>
      </c>
      <c r="E9" s="9">
        <f>I11+I12</f>
        <v>1447.6162926003824</v>
      </c>
      <c r="F9" s="43" t="s">
        <v>27</v>
      </c>
      <c r="H9" s="2" t="s">
        <v>28</v>
      </c>
      <c r="I9" s="48">
        <f>IF(E23="District",I4/Assumptions!$W$6,0)</f>
        <v>0</v>
      </c>
    </row>
    <row r="10" spans="1:9" ht="25.5" customHeight="1">
      <c r="A10" s="19" t="s">
        <v>29</v>
      </c>
      <c r="B10" s="27" t="s">
        <v>213</v>
      </c>
      <c r="D10" s="44" t="s">
        <v>30</v>
      </c>
      <c r="E10" s="12">
        <f>IF(B9="None",0,IF(B9="National Grid - Multifamily Wall Insulation",E8*150,IF(B9="National Grid - Commercial Weatherization",IF(E23="Natural Gas",MIN(I13*I14,250000),IF(E23="Electric",MIN(I13*I14,150000),0)),I13*I14)))</f>
        <v>15600</v>
      </c>
      <c r="F10" s="43" t="s">
        <v>31</v>
      </c>
      <c r="H10" s="2" t="s">
        <v>32</v>
      </c>
      <c r="I10" s="49">
        <f>IF(OR(B17="No Cooling",B18&lt;=0),0,I3/(Assumptions!$W$2*B18))</f>
        <v>235.70906567892004</v>
      </c>
    </row>
    <row r="11" spans="1:9" ht="25.5" customHeight="1">
      <c r="A11" s="45" t="s">
        <v>33</v>
      </c>
      <c r="B11" s="57">
        <v>1</v>
      </c>
      <c r="D11" s="44" t="s">
        <v>34</v>
      </c>
      <c r="E11" s="10">
        <f>E9*10</f>
        <v>14476.162926003824</v>
      </c>
      <c r="F11" s="43" t="s">
        <v>31</v>
      </c>
      <c r="H11" s="2" t="s">
        <v>35</v>
      </c>
      <c r="I11" s="50">
        <f>IF(E23="Natural Gas",I6*B19,IF(E23="Electric",I5*B20,IF(E23="Propane",I7*B21,IF(E23="Fuel Oil",I8*B22,IF(E23="District",I9*B23,0)))))</f>
        <v>1409.9028420917552</v>
      </c>
    </row>
    <row r="12" spans="1:9" ht="21" customHeight="1">
      <c r="A12" s="45" t="s">
        <v>36</v>
      </c>
      <c r="B12" s="28" t="s">
        <v>162</v>
      </c>
      <c r="H12" s="2" t="s">
        <v>38</v>
      </c>
      <c r="I12" s="50">
        <f>I10*B20</f>
        <v>37.713450508627204</v>
      </c>
    </row>
    <row r="13" spans="1:9" ht="21" customHeight="1">
      <c r="A13" s="45" t="s">
        <v>39</v>
      </c>
      <c r="B13" s="26" t="s">
        <v>155</v>
      </c>
      <c r="H13" s="2" t="s">
        <v>41</v>
      </c>
      <c r="I13" s="46">
        <f>IF(B29&gt;0,B29,I24*I26)</f>
        <v>3900</v>
      </c>
    </row>
    <row r="14" spans="1:9" ht="21" customHeight="1">
      <c r="A14" s="45" t="s">
        <v>42</v>
      </c>
      <c r="B14" s="29" t="s">
        <v>43</v>
      </c>
      <c r="D14" s="35" t="s">
        <v>44</v>
      </c>
      <c r="E14" s="35"/>
      <c r="F14" s="35"/>
      <c r="H14" s="2" t="s">
        <v>45</v>
      </c>
      <c r="I14" s="51">
        <f>IF(B9="None",0,IF(B9="NYSEG/RG&amp;E - C&amp;I",0.8,IF(B9="NYSEG/RG&amp;E - Small Business",1.25,IF(B9="National Grid - Multifamily Wall Insulation",150,IF(B9="National Grid - Commercial Weatherization",IF(E23="Natural Gas",I16,IF(E23="Electric",I17,0)),0)))))</f>
        <v>4</v>
      </c>
    </row>
    <row r="15" spans="1:9" ht="21" customHeight="1">
      <c r="A15" s="45" t="s">
        <v>46</v>
      </c>
      <c r="B15" s="26" t="s">
        <v>183</v>
      </c>
      <c r="D15" s="45" t="s">
        <v>47</v>
      </c>
      <c r="E15" s="61">
        <f>IF(B13="Custom",B30,VLOOKUP(B13,Assumptions!$E$2:$F$15,2,FALSE))</f>
        <v>11</v>
      </c>
      <c r="F15" s="24"/>
      <c r="H15" t="s">
        <v>48</v>
      </c>
      <c r="I15" s="52">
        <f>MAX(0,E16-E15)</f>
        <v>38</v>
      </c>
    </row>
    <row r="16" spans="1:9" ht="21" customHeight="1">
      <c r="A16" s="45" t="s">
        <v>49</v>
      </c>
      <c r="B16" s="5">
        <f>IF(B15="Custom",0.85,VLOOKUP(B15,Assumptions!$I$2:$K$12,3,FALSE))</f>
        <v>1</v>
      </c>
      <c r="D16" s="45" t="s">
        <v>50</v>
      </c>
      <c r="E16" s="61">
        <f>IF(B14="Custom",B31,VLOOKUP(B14,Assumptions!$E$2:$F$15,2,FALSE))</f>
        <v>49</v>
      </c>
      <c r="F16" s="24"/>
      <c r="H16" t="s">
        <v>51</v>
      </c>
      <c r="I16" s="52">
        <f>IF(OR(I15&lt;4,I15&gt;60),0,IF(I15&lt;11,IF(B10="Yes",1.15,0.15),IF(I15&lt;21,IF(B10="Yes",2.5,1.5),IF(I15&lt;31,IF(B10="Yes",2.75,1.75),IF(I15&lt;41,IF(B10="Yes",2.9,1.9),IF(B10="Yes",3,2))))))</f>
        <v>1.9</v>
      </c>
    </row>
    <row r="17" spans="1:9" ht="21" customHeight="1">
      <c r="A17" s="45" t="s">
        <v>52</v>
      </c>
      <c r="B17" s="30" t="s">
        <v>138</v>
      </c>
      <c r="D17" s="45" t="s">
        <v>54</v>
      </c>
      <c r="E17" s="62">
        <f>IFERROR(1/E15,0)</f>
        <v>9.0909090909090912E-2</v>
      </c>
      <c r="F17" s="24" t="s">
        <v>55</v>
      </c>
      <c r="H17" t="s">
        <v>56</v>
      </c>
      <c r="I17" s="52">
        <f>IF(I15&lt;4,0,IF(I15&lt;11,IF(B10="Yes",3,2),IF(I15&lt;21,IF(B10="Yes",4,3),IF(B10="Yes",5,4))))</f>
        <v>4</v>
      </c>
    </row>
    <row r="18" spans="1:9" ht="21" customHeight="1">
      <c r="A18" s="45" t="s">
        <v>57</v>
      </c>
      <c r="B18" s="58">
        <f>IF(B17="Custom",3,VLOOKUP(B17,Assumptions!$N$2:$O$8,2,FALSE))</f>
        <v>3</v>
      </c>
      <c r="D18" s="45" t="s">
        <v>58</v>
      </c>
      <c r="E18" s="62">
        <f>IFERROR(1/E16,0)</f>
        <v>2.0408163265306121E-2</v>
      </c>
      <c r="F18" s="24" t="s">
        <v>55</v>
      </c>
      <c r="H18" t="s">
        <v>59</v>
      </c>
      <c r="I18" s="53">
        <f>IF(B11&gt;0,B8/B11,0)</f>
        <v>10000</v>
      </c>
    </row>
    <row r="19" spans="1:9" ht="21" customHeight="1">
      <c r="A19" s="45" t="s">
        <v>60</v>
      </c>
      <c r="B19" s="59">
        <v>1.2</v>
      </c>
      <c r="D19" s="45" t="s">
        <v>61</v>
      </c>
      <c r="E19" s="62">
        <f>MAX(0,E17-E18)</f>
        <v>7.0500927643784794E-2</v>
      </c>
      <c r="F19" s="24" t="s">
        <v>55</v>
      </c>
      <c r="H19" t="s">
        <v>62</v>
      </c>
      <c r="I19" s="54">
        <f>IF(I18&gt;0,2*(SQRT(I18*VLOOKUP(B12,Assumptions!$AJ$2:$AL$9,2,FALSE))+SQRT(I18/VLOOKUP(B12,Assumptions!$AJ$2:$AL$9,2,FALSE))),0)</f>
        <v>500</v>
      </c>
    </row>
    <row r="20" spans="1:9" ht="21" customHeight="1">
      <c r="A20" s="45" t="s">
        <v>63</v>
      </c>
      <c r="B20" s="59">
        <v>0.16</v>
      </c>
      <c r="D20" s="45" t="s">
        <v>64</v>
      </c>
      <c r="E20" s="63">
        <f>IF(B6="Custom",B26,VLOOKUP(B6,Assumptions!$A$2:$C$9,2,FALSE))</f>
        <v>6750</v>
      </c>
      <c r="F20" s="24" t="s">
        <v>65</v>
      </c>
      <c r="H20" t="s">
        <v>66</v>
      </c>
      <c r="I20" s="54">
        <f>VLOOKUP(B12,Assumptions!$AJ$2:$AL$9,3,FALSE)</f>
        <v>1</v>
      </c>
    </row>
    <row r="21" spans="1:9" ht="21" customHeight="1">
      <c r="A21" s="45" t="s">
        <v>67</v>
      </c>
      <c r="B21" s="59">
        <v>2.8</v>
      </c>
      <c r="D21" s="45" t="s">
        <v>68</v>
      </c>
      <c r="E21" s="63">
        <f>IF(B6="Custom",B27,VLOOKUP(B6,Assumptions!$A$2:$C$9,3,FALSE))</f>
        <v>650</v>
      </c>
      <c r="F21" s="24" t="s">
        <v>65</v>
      </c>
      <c r="H21" t="s">
        <v>69</v>
      </c>
      <c r="I21" s="54">
        <f>I19*I20</f>
        <v>500</v>
      </c>
    </row>
    <row r="22" spans="1:9" ht="21" customHeight="1">
      <c r="A22" s="45" t="s">
        <v>70</v>
      </c>
      <c r="B22" s="59">
        <v>3.4</v>
      </c>
      <c r="D22" s="45" t="s">
        <v>71</v>
      </c>
      <c r="E22" s="64">
        <f>IF(B7="Custom",B28,VLOOKUP(B7,Assumptions!$Y$2:$Z$7,2,FALSE))</f>
        <v>0.75</v>
      </c>
      <c r="F22" s="24"/>
      <c r="H22" t="s">
        <v>72</v>
      </c>
      <c r="I22" s="54">
        <f>IF(B32&gt;0,B32,IF(B7="Custom",12,VLOOKUP(B7,Assumptions!$Y$2:$AB$7,3,FALSE)))</f>
        <v>12</v>
      </c>
    </row>
    <row r="23" spans="1:9" ht="22.5" customHeight="1">
      <c r="A23" s="45" t="s">
        <v>73</v>
      </c>
      <c r="B23" s="60">
        <v>18</v>
      </c>
      <c r="D23" s="45" t="s">
        <v>74</v>
      </c>
      <c r="E23" s="20" t="str">
        <f>IF(B15="Custom","Custom",VLOOKUP(B15,Assumptions!$I$2:$J$12,2,FALSE))</f>
        <v>Electric</v>
      </c>
      <c r="F23" s="24"/>
      <c r="H23" t="s">
        <v>75</v>
      </c>
      <c r="I23" s="53">
        <f>IF(B34&gt;0,B34,1)</f>
        <v>1</v>
      </c>
    </row>
    <row r="24" spans="1:9" ht="22.5" customHeight="1">
      <c r="A24" s="16"/>
      <c r="B24" s="17"/>
      <c r="D24" s="19" t="s">
        <v>76</v>
      </c>
      <c r="E24" s="40">
        <f>I18</f>
        <v>10000</v>
      </c>
      <c r="F24" s="24" t="s">
        <v>77</v>
      </c>
      <c r="H24" t="s">
        <v>78</v>
      </c>
      <c r="I24" s="55">
        <f>I21*I22*B11*I23</f>
        <v>6000</v>
      </c>
    </row>
    <row r="25" spans="1:9" ht="20.25" customHeight="1">
      <c r="A25" s="32" t="s">
        <v>79</v>
      </c>
      <c r="B25" s="32"/>
      <c r="C25" s="4"/>
      <c r="D25" s="19" t="s">
        <v>80</v>
      </c>
      <c r="E25" s="21">
        <f>I21</f>
        <v>500</v>
      </c>
      <c r="F25" s="24" t="s">
        <v>81</v>
      </c>
      <c r="H25" t="s">
        <v>82</v>
      </c>
      <c r="I25" s="52">
        <f>IF(B33&gt;0,B33,IF(B7="Custom",0.2,VLOOKUP(B7,Assumptions!$Y$2:$AB$7,4,FALSE)))</f>
        <v>0.35</v>
      </c>
    </row>
    <row r="26" spans="1:9" ht="24" customHeight="1">
      <c r="A26" s="37" t="s">
        <v>83</v>
      </c>
      <c r="B26" s="67">
        <v>6500</v>
      </c>
      <c r="D26" s="19" t="s">
        <v>84</v>
      </c>
      <c r="E26" s="21">
        <f>I22</f>
        <v>12</v>
      </c>
      <c r="F26" s="24" t="s">
        <v>85</v>
      </c>
      <c r="H26" t="s">
        <v>86</v>
      </c>
      <c r="I26" s="52">
        <f>MAX(0,1-I25)</f>
        <v>0.65</v>
      </c>
    </row>
    <row r="27" spans="1:9" ht="33.950000000000003" customHeight="1">
      <c r="A27" s="38" t="s">
        <v>87</v>
      </c>
      <c r="B27" s="25">
        <v>700</v>
      </c>
      <c r="D27" s="45" t="s">
        <v>78</v>
      </c>
      <c r="E27" s="65">
        <f>I24</f>
        <v>6000</v>
      </c>
      <c r="F27" s="24" t="s">
        <v>77</v>
      </c>
    </row>
    <row r="28" spans="1:9" ht="33.950000000000003" customHeight="1">
      <c r="A28" s="38" t="s">
        <v>88</v>
      </c>
      <c r="B28" s="25">
        <v>1</v>
      </c>
      <c r="D28" s="45" t="s">
        <v>89</v>
      </c>
      <c r="E28" s="22">
        <f>I25</f>
        <v>0.35</v>
      </c>
      <c r="F28" s="24" t="s">
        <v>90</v>
      </c>
    </row>
    <row r="29" spans="1:9" ht="33.950000000000003" customHeight="1">
      <c r="A29" s="38" t="s">
        <v>91</v>
      </c>
      <c r="B29" s="68">
        <v>0</v>
      </c>
      <c r="D29" s="45" t="s">
        <v>92</v>
      </c>
      <c r="E29" s="23">
        <f>I24*I26</f>
        <v>3900</v>
      </c>
      <c r="F29" s="24" t="s">
        <v>77</v>
      </c>
    </row>
    <row r="30" spans="1:9" ht="33.950000000000003" customHeight="1">
      <c r="A30" s="38" t="s">
        <v>93</v>
      </c>
      <c r="B30" s="68">
        <v>0</v>
      </c>
      <c r="D30" s="45" t="s">
        <v>94</v>
      </c>
      <c r="E30" s="65">
        <f>I13</f>
        <v>3900</v>
      </c>
      <c r="F30" s="24" t="s">
        <v>77</v>
      </c>
    </row>
    <row r="31" spans="1:9" ht="33.950000000000003" customHeight="1">
      <c r="A31" s="38" t="s">
        <v>95</v>
      </c>
      <c r="B31" s="68">
        <v>0</v>
      </c>
      <c r="D31" s="45" t="s">
        <v>36</v>
      </c>
      <c r="E31" s="20" t="str">
        <f>B12</f>
        <v>Very Long / Narrow</v>
      </c>
      <c r="F31" s="24"/>
    </row>
    <row r="32" spans="1:9" ht="29.25">
      <c r="A32" s="39" t="s">
        <v>96</v>
      </c>
      <c r="B32" s="68">
        <v>0</v>
      </c>
      <c r="D32" s="45" t="s">
        <v>25</v>
      </c>
      <c r="E32" s="31" t="str">
        <f>B9</f>
        <v>National Grid - Commercial Weatherization</v>
      </c>
      <c r="F32" s="24"/>
    </row>
    <row r="33" spans="1:6" ht="30">
      <c r="A33" s="39" t="s">
        <v>97</v>
      </c>
      <c r="B33" s="69">
        <v>0</v>
      </c>
      <c r="D33" s="45" t="s">
        <v>45</v>
      </c>
      <c r="E33" s="66">
        <f>I14</f>
        <v>4</v>
      </c>
      <c r="F33" s="24" t="s">
        <v>98</v>
      </c>
    </row>
    <row r="34" spans="1:6" ht="30">
      <c r="A34" s="39" t="s">
        <v>99</v>
      </c>
      <c r="B34" s="69">
        <v>1</v>
      </c>
    </row>
    <row r="35" spans="1:6" ht="26.1" customHeight="1"/>
  </sheetData>
  <mergeCells count="5">
    <mergeCell ref="A25:B25"/>
    <mergeCell ref="A4:B4"/>
    <mergeCell ref="A1:F2"/>
    <mergeCell ref="D4:F4"/>
    <mergeCell ref="D14:F14"/>
  </mergeCells>
  <conditionalFormatting sqref="E16">
    <cfRule type="expression" dxfId="0" priority="1">
      <formula>E16&lt;=E15</formula>
    </cfRule>
  </conditionalFormatting>
  <dataValidations count="5">
    <dataValidation sqref="B11" xr:uid="{00000000-0002-0000-0000-000000000000}">
      <formula1>1</formula1>
      <formula2>100</formula2>
    </dataValidation>
    <dataValidation type="list" sqref="B9" xr:uid="{00000000-0002-0000-0000-000001000000}">
      <formula1>"None,NYSEG/RG&amp;E - C&amp;I,NYSEG/RG&amp;E - Small Business,National Grid - Commercial Weatherization,National Grid - Multifamily Wall Insulation"</formula1>
    </dataValidation>
    <dataValidation type="list" sqref="B10" xr:uid="{00000000-0002-0000-0000-000002000000}">
      <formula1>"No,Yes"</formula1>
    </dataValidation>
    <dataValidation type="decimal" sqref="B33" xr:uid="{00000000-0002-0000-0000-000003000000}">
      <formula1>0</formula1>
      <formula2>0.8</formula2>
    </dataValidation>
    <dataValidation type="decimal" sqref="B34" xr:uid="{00000000-0002-0000-0000-000004000000}">
      <formula1>0.1</formula1>
      <formula2>1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5000000}">
          <x14:formula1>
            <xm:f>Assumptions!$A$2:$A$9</xm:f>
          </x14:formula1>
          <xm:sqref>B6</xm:sqref>
        </x14:dataValidation>
        <x14:dataValidation type="list" xr:uid="{00000000-0002-0000-0000-000006000000}">
          <x14:formula1>
            <xm:f>Assumptions!$Y$2:$Y$7</xm:f>
          </x14:formula1>
          <xm:sqref>B7</xm:sqref>
        </x14:dataValidation>
        <x14:dataValidation type="list" xr:uid="{00000000-0002-0000-0000-000007000000}">
          <x14:formula1>
            <xm:f>Assumptions!$AJ$2:$AJ$9</xm:f>
          </x14:formula1>
          <xm:sqref>B12</xm:sqref>
        </x14:dataValidation>
        <x14:dataValidation type="list" xr:uid="{00000000-0002-0000-0000-00000B000000}">
          <x14:formula1>
            <xm:f>Assumptions!$N$2:$N$8</xm:f>
          </x14:formula1>
          <xm:sqref>B17</xm:sqref>
        </x14:dataValidation>
        <x14:dataValidation type="list" xr:uid="{00000000-0002-0000-0000-00000A000000}">
          <x14:formula1>
            <xm:f>Assumptions!$I$2:$I$12</xm:f>
          </x14:formula1>
          <xm:sqref>B15</xm:sqref>
        </x14:dataValidation>
        <x14:dataValidation type="list" xr:uid="{00000000-0002-0000-0000-000008000000}">
          <x14:formula1>
            <xm:f>Assumptions!$E$2:$E$15</xm:f>
          </x14:formula1>
          <xm:sqref>B13 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9"/>
  <sheetViews>
    <sheetView workbookViewId="0">
      <selection activeCell="G17" sqref="G17"/>
    </sheetView>
  </sheetViews>
  <sheetFormatPr defaultRowHeight="14.25"/>
  <cols>
    <col min="1" max="1" width="24" customWidth="1"/>
    <col min="2" max="4" width="12" customWidth="1"/>
    <col min="5" max="5" width="32" customWidth="1"/>
    <col min="6" max="6" width="10" customWidth="1"/>
    <col min="7" max="7" width="22" customWidth="1"/>
    <col min="9" max="9" width="34" customWidth="1"/>
    <col min="10" max="10" width="14" customWidth="1"/>
    <col min="11" max="11" width="18" customWidth="1"/>
    <col min="12" max="12" width="14" customWidth="1"/>
    <col min="14" max="14" width="28" customWidth="1"/>
    <col min="15" max="15" width="12" customWidth="1"/>
    <col min="16" max="16" width="24" customWidth="1"/>
    <col min="18" max="18" width="18" customWidth="1"/>
    <col min="19" max="20" width="14" customWidth="1"/>
    <col min="22" max="22" width="34" customWidth="1"/>
    <col min="23" max="23" width="24.875" customWidth="1"/>
    <col min="25" max="25" width="36" customWidth="1"/>
    <col min="26" max="26" width="14" customWidth="1"/>
    <col min="27" max="29" width="19.875" customWidth="1"/>
    <col min="30" max="30" width="34" customWidth="1"/>
    <col min="31" max="31" width="32" customWidth="1"/>
    <col min="32" max="35" width="14" customWidth="1"/>
    <col min="36" max="36" width="26" customWidth="1"/>
    <col min="37" max="38" width="18" customWidth="1"/>
  </cols>
  <sheetData>
    <row r="1" spans="1:38" ht="30">
      <c r="A1" s="1" t="s">
        <v>12</v>
      </c>
      <c r="B1" s="1" t="s">
        <v>100</v>
      </c>
      <c r="C1" s="1" t="s">
        <v>101</v>
      </c>
      <c r="D1" s="3"/>
      <c r="E1" s="1" t="s">
        <v>102</v>
      </c>
      <c r="F1" s="1" t="s">
        <v>103</v>
      </c>
      <c r="G1" s="1" t="s">
        <v>104</v>
      </c>
      <c r="H1" s="3"/>
      <c r="I1" s="1" t="s">
        <v>46</v>
      </c>
      <c r="J1" s="1" t="s">
        <v>105</v>
      </c>
      <c r="K1" s="1" t="s">
        <v>106</v>
      </c>
      <c r="L1" s="1" t="s">
        <v>107</v>
      </c>
      <c r="M1" s="3"/>
      <c r="N1" s="1" t="s">
        <v>52</v>
      </c>
      <c r="O1" s="1" t="s">
        <v>108</v>
      </c>
      <c r="P1" s="1" t="s">
        <v>109</v>
      </c>
      <c r="Q1" s="3"/>
      <c r="R1" s="1" t="s">
        <v>110</v>
      </c>
      <c r="S1" s="1" t="s">
        <v>111</v>
      </c>
      <c r="T1" s="1" t="s">
        <v>112</v>
      </c>
      <c r="U1" s="3"/>
      <c r="V1" s="1" t="s">
        <v>113</v>
      </c>
      <c r="W1" s="1" t="s">
        <v>2</v>
      </c>
      <c r="X1" s="3"/>
      <c r="Y1" s="1" t="s">
        <v>17</v>
      </c>
      <c r="Z1" s="1" t="s">
        <v>114</v>
      </c>
      <c r="AA1" s="18" t="s">
        <v>115</v>
      </c>
      <c r="AB1" s="18" t="s">
        <v>116</v>
      </c>
      <c r="AC1" s="42"/>
      <c r="AD1" s="11" t="s">
        <v>25</v>
      </c>
      <c r="AE1" s="11" t="s">
        <v>117</v>
      </c>
      <c r="AF1" s="11" t="s">
        <v>118</v>
      </c>
      <c r="AG1" s="11" t="s">
        <v>119</v>
      </c>
      <c r="AH1" s="11" t="s">
        <v>112</v>
      </c>
      <c r="AI1" s="36"/>
      <c r="AJ1" s="13" t="s">
        <v>36</v>
      </c>
      <c r="AK1" s="13" t="s">
        <v>120</v>
      </c>
      <c r="AL1" s="13" t="s">
        <v>121</v>
      </c>
    </row>
    <row r="2" spans="1:38" ht="28.5">
      <c r="A2" s="2" t="s">
        <v>13</v>
      </c>
      <c r="B2" s="2">
        <v>6750</v>
      </c>
      <c r="C2" s="2">
        <v>650</v>
      </c>
      <c r="D2" s="2"/>
      <c r="E2" s="2" t="s">
        <v>122</v>
      </c>
      <c r="F2" s="2">
        <v>2</v>
      </c>
      <c r="G2" s="2" t="s">
        <v>123</v>
      </c>
      <c r="H2" s="2"/>
      <c r="I2" s="2" t="s">
        <v>124</v>
      </c>
      <c r="J2" s="2" t="s">
        <v>125</v>
      </c>
      <c r="K2" s="2">
        <v>0.8</v>
      </c>
      <c r="L2" s="2" t="s">
        <v>126</v>
      </c>
      <c r="M2" s="2"/>
      <c r="N2" s="2" t="s">
        <v>127</v>
      </c>
      <c r="O2" s="2">
        <v>0</v>
      </c>
      <c r="P2" s="2" t="s">
        <v>128</v>
      </c>
      <c r="Q2" s="2"/>
      <c r="R2" s="2" t="s">
        <v>125</v>
      </c>
      <c r="S2" s="2">
        <v>1.2</v>
      </c>
      <c r="T2" s="2" t="s">
        <v>129</v>
      </c>
      <c r="U2" s="2"/>
      <c r="V2" s="2" t="s">
        <v>130</v>
      </c>
      <c r="W2" s="2">
        <v>3412</v>
      </c>
      <c r="X2" s="2"/>
      <c r="Y2" s="2" t="s">
        <v>131</v>
      </c>
      <c r="Z2" s="2">
        <v>1</v>
      </c>
      <c r="AA2">
        <v>10</v>
      </c>
      <c r="AB2" s="15">
        <v>0.25</v>
      </c>
      <c r="AC2" s="15"/>
      <c r="AD2" s="2" t="s">
        <v>132</v>
      </c>
      <c r="AE2" s="2" t="s">
        <v>222</v>
      </c>
      <c r="AF2" s="2">
        <v>0.8</v>
      </c>
      <c r="AG2" s="2"/>
      <c r="AH2" s="2" t="s">
        <v>133</v>
      </c>
      <c r="AI2" s="2"/>
      <c r="AJ2" s="2" t="s">
        <v>134</v>
      </c>
      <c r="AK2" s="2">
        <v>1</v>
      </c>
      <c r="AL2" s="2">
        <v>1</v>
      </c>
    </row>
    <row r="3" spans="1:38">
      <c r="A3" s="2" t="s">
        <v>135</v>
      </c>
      <c r="B3" s="2">
        <v>6500</v>
      </c>
      <c r="C3" s="2">
        <v>700</v>
      </c>
      <c r="D3" s="2"/>
      <c r="E3" s="2" t="s">
        <v>136</v>
      </c>
      <c r="F3" s="2">
        <v>4</v>
      </c>
      <c r="G3" s="2" t="s">
        <v>123</v>
      </c>
      <c r="H3" s="2"/>
      <c r="I3" s="2" t="s">
        <v>137</v>
      </c>
      <c r="J3" s="2" t="s">
        <v>125</v>
      </c>
      <c r="K3" s="2">
        <v>0.95</v>
      </c>
      <c r="L3" s="2" t="s">
        <v>126</v>
      </c>
      <c r="M3" s="2"/>
      <c r="N3" s="2" t="s">
        <v>138</v>
      </c>
      <c r="O3" s="2">
        <v>3</v>
      </c>
      <c r="P3" s="2" t="s">
        <v>139</v>
      </c>
      <c r="Q3" s="2"/>
      <c r="R3" s="2" t="s">
        <v>140</v>
      </c>
      <c r="S3" s="2">
        <v>0.16</v>
      </c>
      <c r="T3" s="2" t="s">
        <v>141</v>
      </c>
      <c r="U3" s="2"/>
      <c r="V3" s="2" t="s">
        <v>142</v>
      </c>
      <c r="W3" s="2">
        <v>100000</v>
      </c>
      <c r="X3" s="2"/>
      <c r="Y3" s="2" t="s">
        <v>18</v>
      </c>
      <c r="Z3" s="2">
        <v>0.75</v>
      </c>
      <c r="AA3">
        <v>12</v>
      </c>
      <c r="AB3" s="15">
        <v>0.35</v>
      </c>
      <c r="AC3" s="15"/>
      <c r="AD3" s="2" t="s">
        <v>143</v>
      </c>
      <c r="AE3" s="2" t="s">
        <v>222</v>
      </c>
      <c r="AF3" s="2">
        <v>1.25</v>
      </c>
      <c r="AG3" s="2"/>
      <c r="AH3" s="2" t="s">
        <v>133</v>
      </c>
      <c r="AI3" s="2"/>
      <c r="AJ3" s="2" t="s">
        <v>37</v>
      </c>
      <c r="AK3" s="2">
        <v>1.5</v>
      </c>
      <c r="AL3" s="2">
        <v>1</v>
      </c>
    </row>
    <row r="4" spans="1:38" ht="28.5">
      <c r="A4" s="2" t="s">
        <v>144</v>
      </c>
      <c r="B4" s="2">
        <v>6650</v>
      </c>
      <c r="C4" s="2">
        <v>700</v>
      </c>
      <c r="D4" s="2"/>
      <c r="E4" s="2" t="s">
        <v>145</v>
      </c>
      <c r="F4" s="2">
        <v>7</v>
      </c>
      <c r="G4" s="2" t="s">
        <v>146</v>
      </c>
      <c r="H4" s="2"/>
      <c r="I4" s="2" t="s">
        <v>147</v>
      </c>
      <c r="J4" s="2" t="s">
        <v>125</v>
      </c>
      <c r="K4" s="2">
        <v>0.82</v>
      </c>
      <c r="L4" s="2" t="s">
        <v>126</v>
      </c>
      <c r="M4" s="2"/>
      <c r="N4" s="2" t="s">
        <v>53</v>
      </c>
      <c r="O4" s="2">
        <v>3.2</v>
      </c>
      <c r="P4" s="2" t="s">
        <v>139</v>
      </c>
      <c r="Q4" s="2"/>
      <c r="R4" s="2" t="s">
        <v>148</v>
      </c>
      <c r="S4" s="2">
        <v>2.8</v>
      </c>
      <c r="T4" s="2" t="s">
        <v>149</v>
      </c>
      <c r="U4" s="2"/>
      <c r="V4" s="2" t="s">
        <v>150</v>
      </c>
      <c r="W4" s="2">
        <v>91500</v>
      </c>
      <c r="X4" s="2"/>
      <c r="Y4" s="2" t="s">
        <v>151</v>
      </c>
      <c r="Z4" s="2">
        <v>0.85</v>
      </c>
      <c r="AA4">
        <v>14</v>
      </c>
      <c r="AB4" s="15">
        <v>0.3</v>
      </c>
      <c r="AC4" s="15"/>
      <c r="AD4" s="2" t="s">
        <v>152</v>
      </c>
      <c r="AE4" s="2" t="s">
        <v>214</v>
      </c>
      <c r="AF4" s="2">
        <v>0.15</v>
      </c>
      <c r="AG4" s="2">
        <v>1.1499999999999999</v>
      </c>
      <c r="AH4" s="2" t="s">
        <v>133</v>
      </c>
      <c r="AI4" s="2"/>
      <c r="AJ4" s="2" t="s">
        <v>153</v>
      </c>
      <c r="AK4" s="2">
        <v>2.5</v>
      </c>
      <c r="AL4" s="2">
        <v>1</v>
      </c>
    </row>
    <row r="5" spans="1:38" ht="28.5">
      <c r="A5" s="2" t="s">
        <v>154</v>
      </c>
      <c r="B5" s="2">
        <v>6800</v>
      </c>
      <c r="C5" s="2">
        <v>600</v>
      </c>
      <c r="D5" s="2"/>
      <c r="E5" s="2" t="s">
        <v>155</v>
      </c>
      <c r="F5" s="2">
        <v>11</v>
      </c>
      <c r="G5" s="2" t="s">
        <v>156</v>
      </c>
      <c r="H5" s="2"/>
      <c r="I5" s="2" t="s">
        <v>157</v>
      </c>
      <c r="J5" s="2" t="s">
        <v>125</v>
      </c>
      <c r="K5" s="2">
        <v>0.94</v>
      </c>
      <c r="L5" s="2" t="s">
        <v>126</v>
      </c>
      <c r="M5" s="2"/>
      <c r="N5" s="2" t="s">
        <v>158</v>
      </c>
      <c r="O5" s="2">
        <v>3.5</v>
      </c>
      <c r="P5" s="2" t="s">
        <v>139</v>
      </c>
      <c r="Q5" s="2"/>
      <c r="R5" s="2" t="s">
        <v>159</v>
      </c>
      <c r="S5" s="2">
        <v>3.4</v>
      </c>
      <c r="T5" s="2" t="s">
        <v>149</v>
      </c>
      <c r="U5" s="2"/>
      <c r="V5" s="2" t="s">
        <v>160</v>
      </c>
      <c r="W5" s="2">
        <v>138500</v>
      </c>
      <c r="X5" s="2"/>
      <c r="Y5" s="2" t="s">
        <v>161</v>
      </c>
      <c r="Z5" s="2">
        <v>0.65</v>
      </c>
      <c r="AA5">
        <v>20</v>
      </c>
      <c r="AB5" s="15">
        <v>0.08</v>
      </c>
      <c r="AC5" s="15"/>
      <c r="AD5" s="2" t="s">
        <v>152</v>
      </c>
      <c r="AE5" s="2" t="s">
        <v>215</v>
      </c>
      <c r="AF5" s="2">
        <v>1.5</v>
      </c>
      <c r="AG5" s="2">
        <v>2.5</v>
      </c>
      <c r="AH5" s="2" t="s">
        <v>133</v>
      </c>
      <c r="AI5" s="2"/>
      <c r="AJ5" s="2" t="s">
        <v>162</v>
      </c>
      <c r="AK5" s="2">
        <v>4</v>
      </c>
      <c r="AL5" s="2">
        <v>1</v>
      </c>
    </row>
    <row r="6" spans="1:38" ht="28.5">
      <c r="A6" s="2" t="s">
        <v>163</v>
      </c>
      <c r="B6" s="2">
        <v>7200</v>
      </c>
      <c r="C6" s="2">
        <v>500</v>
      </c>
      <c r="D6" s="2"/>
      <c r="E6" s="2" t="s">
        <v>40</v>
      </c>
      <c r="F6" s="2">
        <v>13</v>
      </c>
      <c r="G6" s="2" t="s">
        <v>164</v>
      </c>
      <c r="H6" s="2"/>
      <c r="I6" s="2" t="s">
        <v>165</v>
      </c>
      <c r="J6" s="2" t="s">
        <v>148</v>
      </c>
      <c r="K6" s="2">
        <v>0.85</v>
      </c>
      <c r="L6" s="2" t="s">
        <v>166</v>
      </c>
      <c r="M6" s="2"/>
      <c r="N6" s="2" t="s">
        <v>167</v>
      </c>
      <c r="O6" s="2">
        <v>5.5</v>
      </c>
      <c r="P6" s="2" t="s">
        <v>139</v>
      </c>
      <c r="Q6" s="2"/>
      <c r="R6" s="2" t="s">
        <v>168</v>
      </c>
      <c r="S6" s="2">
        <v>18</v>
      </c>
      <c r="T6" s="2" t="s">
        <v>169</v>
      </c>
      <c r="U6" s="2"/>
      <c r="V6" s="2" t="s">
        <v>170</v>
      </c>
      <c r="W6" s="2">
        <v>1000000</v>
      </c>
      <c r="X6" s="2"/>
      <c r="Y6" s="2" t="s">
        <v>171</v>
      </c>
      <c r="Z6" s="2">
        <v>0.5</v>
      </c>
      <c r="AA6">
        <v>12</v>
      </c>
      <c r="AB6" s="15">
        <v>0.2</v>
      </c>
      <c r="AC6" s="15"/>
      <c r="AD6" s="2" t="s">
        <v>152</v>
      </c>
      <c r="AE6" s="2" t="s">
        <v>216</v>
      </c>
      <c r="AF6" s="2">
        <v>1.75</v>
      </c>
      <c r="AG6" s="2">
        <v>2.75</v>
      </c>
      <c r="AH6" s="2" t="s">
        <v>133</v>
      </c>
      <c r="AI6" s="2"/>
      <c r="AJ6" s="2" t="s">
        <v>172</v>
      </c>
      <c r="AK6" s="2">
        <v>1.5</v>
      </c>
      <c r="AL6" s="2">
        <v>1.1499999999999999</v>
      </c>
    </row>
    <row r="7" spans="1:38" ht="28.5">
      <c r="A7" s="2" t="s">
        <v>173</v>
      </c>
      <c r="B7" s="2">
        <v>6500</v>
      </c>
      <c r="C7" s="2">
        <v>850</v>
      </c>
      <c r="D7" s="2"/>
      <c r="E7" s="2" t="s">
        <v>174</v>
      </c>
      <c r="F7" s="2">
        <v>15</v>
      </c>
      <c r="G7" s="2" t="s">
        <v>164</v>
      </c>
      <c r="H7" s="2"/>
      <c r="I7" s="2" t="s">
        <v>175</v>
      </c>
      <c r="J7" s="2" t="s">
        <v>159</v>
      </c>
      <c r="K7" s="2">
        <v>0.82</v>
      </c>
      <c r="L7" s="2" t="s">
        <v>166</v>
      </c>
      <c r="M7" s="2"/>
      <c r="N7" s="2" t="s">
        <v>176</v>
      </c>
      <c r="O7" s="2">
        <v>3.5</v>
      </c>
      <c r="P7" s="2" t="s">
        <v>139</v>
      </c>
      <c r="Q7" s="2"/>
      <c r="R7" s="2"/>
      <c r="S7" s="2"/>
      <c r="T7" s="2"/>
      <c r="U7" s="2"/>
      <c r="V7" s="2" t="s">
        <v>177</v>
      </c>
      <c r="W7" s="2">
        <v>150</v>
      </c>
      <c r="X7" s="2"/>
      <c r="Y7" s="2" t="s">
        <v>178</v>
      </c>
      <c r="Z7" s="2">
        <v>1</v>
      </c>
      <c r="AA7">
        <v>12</v>
      </c>
      <c r="AB7" s="15">
        <v>0.2</v>
      </c>
      <c r="AC7" s="15"/>
      <c r="AD7" s="2" t="s">
        <v>152</v>
      </c>
      <c r="AE7" s="2" t="s">
        <v>217</v>
      </c>
      <c r="AF7" s="2">
        <v>1.9</v>
      </c>
      <c r="AG7" s="2">
        <v>2.9</v>
      </c>
      <c r="AH7" s="2" t="s">
        <v>133</v>
      </c>
      <c r="AI7" s="2"/>
      <c r="AJ7" s="2" t="s">
        <v>179</v>
      </c>
      <c r="AK7" s="2">
        <v>1.5</v>
      </c>
      <c r="AL7" s="2">
        <v>1.3</v>
      </c>
    </row>
    <row r="8" spans="1:38" ht="28.5">
      <c r="A8" s="2" t="s">
        <v>180</v>
      </c>
      <c r="B8" s="2">
        <v>7600</v>
      </c>
      <c r="C8" s="2">
        <v>450</v>
      </c>
      <c r="D8" s="2"/>
      <c r="E8" s="2" t="s">
        <v>181</v>
      </c>
      <c r="F8" s="2">
        <v>19</v>
      </c>
      <c r="G8" s="2" t="s">
        <v>182</v>
      </c>
      <c r="H8" s="2"/>
      <c r="I8" s="2" t="s">
        <v>183</v>
      </c>
      <c r="J8" s="2" t="s">
        <v>184</v>
      </c>
      <c r="K8" s="2">
        <v>1</v>
      </c>
      <c r="L8" s="2" t="s">
        <v>185</v>
      </c>
      <c r="M8" s="2"/>
      <c r="N8" s="2" t="s">
        <v>178</v>
      </c>
      <c r="O8" s="2">
        <v>3</v>
      </c>
      <c r="P8" s="2" t="s">
        <v>186</v>
      </c>
      <c r="Q8" s="2"/>
      <c r="R8" s="2"/>
      <c r="S8" s="2"/>
      <c r="T8" s="2"/>
      <c r="U8" s="2"/>
      <c r="V8" s="2" t="s">
        <v>187</v>
      </c>
      <c r="W8" s="2">
        <v>0.9</v>
      </c>
      <c r="X8" s="2"/>
      <c r="Y8" s="2"/>
      <c r="Z8" s="2"/>
      <c r="AD8" s="2" t="s">
        <v>152</v>
      </c>
      <c r="AE8" s="2" t="s">
        <v>218</v>
      </c>
      <c r="AF8" s="2">
        <v>2</v>
      </c>
      <c r="AG8" s="2">
        <v>3</v>
      </c>
      <c r="AH8" s="2" t="s">
        <v>133</v>
      </c>
      <c r="AI8" s="2"/>
      <c r="AJ8" s="2" t="s">
        <v>188</v>
      </c>
      <c r="AK8" s="2">
        <v>1.5</v>
      </c>
      <c r="AL8" s="2">
        <v>1.45</v>
      </c>
    </row>
    <row r="9" spans="1:38" ht="28.5">
      <c r="A9" s="2" t="s">
        <v>178</v>
      </c>
      <c r="B9" s="2">
        <v>6500</v>
      </c>
      <c r="C9" s="2">
        <v>700</v>
      </c>
      <c r="D9" s="2"/>
      <c r="E9" s="2" t="s">
        <v>189</v>
      </c>
      <c r="F9" s="2">
        <v>21</v>
      </c>
      <c r="G9" s="2" t="s">
        <v>164</v>
      </c>
      <c r="H9" s="2"/>
      <c r="I9" s="2" t="s">
        <v>190</v>
      </c>
      <c r="J9" s="2" t="s">
        <v>184</v>
      </c>
      <c r="K9" s="2">
        <v>3</v>
      </c>
      <c r="L9" s="2" t="s">
        <v>185</v>
      </c>
      <c r="M9" s="2"/>
      <c r="N9" s="2"/>
      <c r="O9" s="2"/>
      <c r="P9" s="2"/>
      <c r="Q9" s="2"/>
      <c r="R9" s="2"/>
      <c r="S9" s="2"/>
      <c r="T9" s="2"/>
      <c r="U9" s="2"/>
      <c r="V9" s="2" t="s">
        <v>191</v>
      </c>
      <c r="W9" s="2">
        <v>0.75</v>
      </c>
      <c r="X9" s="2"/>
      <c r="Y9" s="2"/>
      <c r="Z9" s="2"/>
      <c r="AD9" s="2" t="s">
        <v>152</v>
      </c>
      <c r="AE9" s="2" t="s">
        <v>219</v>
      </c>
      <c r="AF9" s="2" t="s">
        <v>220</v>
      </c>
      <c r="AG9" s="2" t="s">
        <v>221</v>
      </c>
      <c r="AH9" s="2" t="s">
        <v>133</v>
      </c>
      <c r="AI9" s="2"/>
      <c r="AJ9" s="2" t="s">
        <v>192</v>
      </c>
      <c r="AK9" s="2">
        <v>1.5</v>
      </c>
      <c r="AL9" s="2">
        <v>1.5</v>
      </c>
    </row>
    <row r="10" spans="1:38" ht="28.5">
      <c r="A10" s="2"/>
      <c r="B10" s="2"/>
      <c r="C10" s="2"/>
      <c r="D10" s="2"/>
      <c r="E10" s="2" t="s">
        <v>193</v>
      </c>
      <c r="F10" s="2">
        <v>25</v>
      </c>
      <c r="G10" s="2" t="s">
        <v>194</v>
      </c>
      <c r="H10" s="2"/>
      <c r="I10" s="2" t="s">
        <v>195</v>
      </c>
      <c r="J10" s="2" t="s">
        <v>184</v>
      </c>
      <c r="K10" s="2">
        <v>4</v>
      </c>
      <c r="L10" s="2" t="s">
        <v>185</v>
      </c>
      <c r="M10" s="2"/>
      <c r="N10" s="2"/>
      <c r="O10" s="2"/>
      <c r="P10" s="2"/>
      <c r="Q10" s="2"/>
      <c r="R10" s="2"/>
      <c r="S10" s="2"/>
      <c r="T10" s="2"/>
      <c r="U10" s="2"/>
      <c r="V10" s="2" t="s">
        <v>196</v>
      </c>
      <c r="W10" s="14">
        <v>0.8</v>
      </c>
      <c r="X10" s="2"/>
      <c r="Y10" s="2"/>
      <c r="Z10" s="2"/>
      <c r="AD10" s="2" t="s">
        <v>197</v>
      </c>
      <c r="AE10" s="2" t="s">
        <v>198</v>
      </c>
      <c r="AF10" s="2">
        <v>150</v>
      </c>
      <c r="AG10" s="2"/>
      <c r="AH10" s="2" t="s">
        <v>199</v>
      </c>
      <c r="AI10" s="2"/>
    </row>
    <row r="11" spans="1:38" ht="28.5">
      <c r="A11" s="2"/>
      <c r="B11" s="2"/>
      <c r="C11" s="2"/>
      <c r="D11" s="2"/>
      <c r="E11" s="2" t="s">
        <v>200</v>
      </c>
      <c r="F11" s="2">
        <v>30</v>
      </c>
      <c r="G11" s="2" t="s">
        <v>201</v>
      </c>
      <c r="H11" s="2"/>
      <c r="I11" s="2" t="s">
        <v>202</v>
      </c>
      <c r="J11" s="2" t="s">
        <v>168</v>
      </c>
      <c r="K11" s="2">
        <v>0.9</v>
      </c>
      <c r="L11" s="2" t="s">
        <v>203</v>
      </c>
      <c r="M11" s="2"/>
      <c r="N11" s="2"/>
      <c r="O11" s="2"/>
      <c r="P11" s="2"/>
      <c r="Q11" s="2"/>
      <c r="R11" s="2"/>
      <c r="S11" s="2"/>
      <c r="T11" s="2"/>
      <c r="U11" s="2"/>
      <c r="V11" s="2" t="s">
        <v>204</v>
      </c>
      <c r="W11" s="2" t="s">
        <v>205</v>
      </c>
      <c r="X11" s="2"/>
      <c r="Y11" s="2"/>
      <c r="Z11" s="2"/>
    </row>
    <row r="12" spans="1:38" ht="71.25">
      <c r="A12" s="2"/>
      <c r="B12" s="2"/>
      <c r="C12" s="2"/>
      <c r="D12" s="2"/>
      <c r="E12" s="2" t="s">
        <v>206</v>
      </c>
      <c r="F12" s="2">
        <v>38</v>
      </c>
      <c r="G12" s="2" t="s">
        <v>201</v>
      </c>
      <c r="H12" s="2"/>
      <c r="I12" s="2" t="s">
        <v>207</v>
      </c>
      <c r="J12" s="2" t="s">
        <v>208</v>
      </c>
      <c r="K12" s="2">
        <v>1</v>
      </c>
      <c r="L12" s="2" t="s">
        <v>208</v>
      </c>
      <c r="M12" s="2"/>
      <c r="N12" s="2"/>
      <c r="O12" s="2"/>
      <c r="P12" s="2"/>
      <c r="Q12" s="2"/>
      <c r="R12" s="2"/>
      <c r="S12" s="2"/>
      <c r="T12" s="2"/>
      <c r="U12" s="2"/>
      <c r="V12" s="2" t="s">
        <v>209</v>
      </c>
      <c r="W12" s="2" t="s">
        <v>210</v>
      </c>
      <c r="X12" s="2"/>
      <c r="Y12" s="2"/>
      <c r="Z12" s="2"/>
    </row>
    <row r="13" spans="1:38">
      <c r="A13" s="2"/>
      <c r="B13" s="2"/>
      <c r="C13" s="2"/>
      <c r="D13" s="2"/>
      <c r="E13" s="2" t="s">
        <v>43</v>
      </c>
      <c r="F13" s="2">
        <v>49</v>
      </c>
      <c r="G13" s="2" t="s">
        <v>201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38">
      <c r="A14" s="2"/>
      <c r="B14" s="2"/>
      <c r="C14" s="2"/>
      <c r="D14" s="2"/>
      <c r="E14" s="2" t="s">
        <v>211</v>
      </c>
      <c r="F14" s="2">
        <v>60</v>
      </c>
      <c r="G14" s="2" t="s">
        <v>201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38" ht="28.5">
      <c r="A15" s="2"/>
      <c r="B15" s="2"/>
      <c r="C15" s="2"/>
      <c r="D15" s="2"/>
      <c r="E15" s="2" t="s">
        <v>178</v>
      </c>
      <c r="F15" s="2">
        <v>0</v>
      </c>
      <c r="G15" s="2" t="s">
        <v>212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3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Calculator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Elek Clark</dc:creator>
  <cp:lastModifiedBy>Elek Clark</cp:lastModifiedBy>
  <dcterms:created xsi:type="dcterms:W3CDTF">2026-09-17T17:30:16Z</dcterms:created>
  <dcterms:modified xsi:type="dcterms:W3CDTF">2026-09-17T19:09:54Z</dcterms:modified>
</cp:coreProperties>
</file>